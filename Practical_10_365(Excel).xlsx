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OneDrive\Desktop\OAT-LAB\"/>
    </mc:Choice>
  </mc:AlternateContent>
  <xr:revisionPtr revIDLastSave="0" documentId="13_ncr:1_{7F41E2F4-85CE-45EE-9B27-55B271D1281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Sheet1!$D$2:$G$15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I5" i="1" s="1"/>
  <c r="J5" i="1" s="1"/>
  <c r="H7" i="1"/>
  <c r="I7" i="1" s="1"/>
  <c r="J7" i="1" s="1"/>
  <c r="H13" i="1"/>
  <c r="I13" i="1" s="1"/>
  <c r="J13" i="1" s="1"/>
  <c r="H3" i="1"/>
  <c r="I3" i="1" s="1"/>
  <c r="J3" i="1" s="1"/>
  <c r="H8" i="1"/>
  <c r="I8" i="1" s="1"/>
  <c r="J8" i="1" s="1"/>
  <c r="H10" i="1"/>
  <c r="I10" i="1" s="1"/>
  <c r="J10" i="1" s="1"/>
  <c r="H9" i="1"/>
  <c r="I9" i="1" s="1"/>
  <c r="J9" i="1" s="1"/>
  <c r="H2" i="1"/>
  <c r="I2" i="1" s="1"/>
  <c r="J2" i="1" s="1"/>
  <c r="H6" i="1"/>
  <c r="I6" i="1" s="1"/>
  <c r="J6" i="1" s="1"/>
  <c r="H14" i="1"/>
  <c r="I14" i="1" s="1"/>
  <c r="J14" i="1" s="1"/>
  <c r="H11" i="1"/>
  <c r="I11" i="1" s="1"/>
  <c r="J11" i="1" s="1"/>
  <c r="H15" i="1"/>
  <c r="I15" i="1" s="1"/>
  <c r="J15" i="1" s="1"/>
  <c r="H12" i="1"/>
  <c r="I12" i="1" s="1"/>
  <c r="J12" i="1" s="1"/>
  <c r="H4" i="1"/>
  <c r="I4" i="1" s="1"/>
  <c r="J4" i="1" s="1"/>
</calcChain>
</file>

<file path=xl/sharedStrings.xml><?xml version="1.0" encoding="utf-8"?>
<sst xmlns="http://schemas.openxmlformats.org/spreadsheetml/2006/main" count="68" uniqueCount="57">
  <si>
    <t>Student ErNo</t>
  </si>
  <si>
    <t>Subject 1</t>
  </si>
  <si>
    <t>Subject 2</t>
  </si>
  <si>
    <t>Subject 3</t>
  </si>
  <si>
    <t>Subject 4</t>
  </si>
  <si>
    <t>Percentage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</si>
  <si>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</si>
  <si>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</si>
  <si>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</si>
  <si>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</si>
  <si>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</si>
  <si>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</si>
  <si>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</si>
  <si>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</si>
  <si>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</si>
  <si>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S011</t>
  </si>
  <si>
    <t>S012</t>
  </si>
  <si>
    <t>S013</t>
  </si>
  <si>
    <t>S014</t>
  </si>
  <si>
    <t>S015</t>
  </si>
  <si>
    <t xml:space="preserve">total </t>
  </si>
  <si>
    <t>grade</t>
  </si>
  <si>
    <t>CGPA</t>
  </si>
  <si>
    <t>Department</t>
  </si>
  <si>
    <t>CE</t>
  </si>
  <si>
    <t>IT</t>
  </si>
  <si>
    <t>ICT</t>
  </si>
  <si>
    <t>Aditya</t>
  </si>
  <si>
    <t>Rana</t>
  </si>
  <si>
    <t>Raj</t>
  </si>
  <si>
    <t>Singh</t>
  </si>
  <si>
    <t>Aarav</t>
  </si>
  <si>
    <t>Patel</t>
  </si>
  <si>
    <t>Riya</t>
  </si>
  <si>
    <t>Shah</t>
  </si>
  <si>
    <t>Arjun</t>
  </si>
  <si>
    <t>Reddy</t>
  </si>
  <si>
    <t>Karan</t>
  </si>
  <si>
    <t>Mehta</t>
  </si>
  <si>
    <t>Simran</t>
  </si>
  <si>
    <t>Kaur</t>
  </si>
  <si>
    <t>Priya</t>
  </si>
  <si>
    <t>Nair</t>
  </si>
  <si>
    <t>Manav</t>
  </si>
  <si>
    <t>Joshi</t>
  </si>
  <si>
    <t>Sahil</t>
  </si>
  <si>
    <t>Khan</t>
  </si>
  <si>
    <t>Ankit</t>
  </si>
  <si>
    <t>Sharma</t>
  </si>
  <si>
    <t>Isha</t>
  </si>
  <si>
    <t>Desai</t>
  </si>
  <si>
    <t>Meera</t>
  </si>
  <si>
    <t>Iyer</t>
  </si>
  <si>
    <t>Pooja</t>
  </si>
  <si>
    <t>Yadav</t>
  </si>
  <si>
    <t>Fname</t>
  </si>
  <si>
    <t>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</si>
</sst>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7"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zoomScale="120" zoomScaleNormal="120" workbookViewId="0">
      <selection activeCell="C18" sqref="C18"/>
    </sheetView>
  </sheetViews>
  <sheetFormatPr defaultRowHeight="15" x14ac:dyDescent="0.25"/>
  <cols>
    <col min="1" max="1" width="18.85546875" customWidth="1"/>
    <col min="2" max="2" width="14.140625" bestFit="1" customWidth="1"/>
    <col min="3" max="3" width="14.5703125" customWidth="1"/>
    <col min="9" max="9" width="15.5703125" customWidth="1"/>
    <col min="12" max="12" width="12.28515625" customWidth="1"/>
  </cols>
  <sheetData>
    <row r="1" spans="1:12" x14ac:dyDescent="0.25">
      <c r="A1" s="1" t="s">
        <v>0</v>
      </c>
      <c r="B1" s="1" t="s">
        <v>55</v>
      </c>
      <c r="C1" s="1" t="s">
        <v>56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20</v>
      </c>
      <c r="I1" s="1" t="s">
        <v>5</v>
      </c>
      <c r="J1" s="1" t="s">
        <v>21</v>
      </c>
      <c r="K1" s="3" t="s">
        <v>22</v>
      </c>
      <c r="L1" s="3" t="s">
        <v>23</v>
      </c>
    </row>
    <row r="2" spans="1:12" x14ac:dyDescent="0.25">
      <c r="A2" t="s">
        <v>14</v>
      </c>
      <c r="B2" t="s">
        <v>27</v>
      </c>
      <c r="C2" t="s">
        <v>28</v>
      </c>
      <c r="D2">
        <v>78</v>
      </c>
      <c r="E2">
        <v>86</v>
      </c>
      <c r="F2">
        <v>93</v>
      </c>
      <c r="G2">
        <v>86</v>
      </c>
      <c r="H2">
        <f>SUM(D2:G2)</f>
        <v>343</v>
      </c>
      <c r="I2" s="2">
        <f>AVERAGE(H2/4)/100</f>
        <v>0.85750000000000004</v>
      </c>
      <c r="J2" t="str">
        <f>IF(I2&gt;90%,"A+",IF(I2&gt;80%,"A",IF(I2&gt;70%,"B+",IF(I2&gt;60%,"B",IF(I2&gt;50%,"c+",IF(I2&gt;40%,"c"))))))</f>
        <v>A</v>
      </c>
      <c r="K2">
        <v>8</v>
      </c>
      <c r="L2" t="s">
        <v>25</v>
      </c>
    </row>
    <row r="3" spans="1:12" x14ac:dyDescent="0.25">
      <c r="A3" t="s">
        <v>10</v>
      </c>
      <c r="B3" t="s">
        <v>29</v>
      </c>
      <c r="C3" t="s">
        <v>30</v>
      </c>
      <c r="D3">
        <v>61</v>
      </c>
      <c r="E3">
        <v>86</v>
      </c>
      <c r="F3">
        <v>90</v>
      </c>
      <c r="G3">
        <v>37</v>
      </c>
      <c r="H3">
        <f>SUM(D3:G3)</f>
        <v>274</v>
      </c>
      <c r="I3" s="2">
        <f>AVERAGE(H3/4)/100</f>
        <v>0.68500000000000005</v>
      </c>
      <c r="J3" t="str">
        <f>IF(I3&gt;90%,"A+",IF(I3&gt;80%,"A",IF(I3&gt;70%,"B+",IF(I3&gt;60%,"B",IF(I3&gt;50%,"c+",IF(I3&gt;40%,"c"))))))</f>
        <v>B</v>
      </c>
      <c r="K3">
        <v>5</v>
      </c>
      <c r="L3" t="s">
        <v>25</v>
      </c>
    </row>
    <row r="4" spans="1:12" x14ac:dyDescent="0.25">
      <c r="A4" t="s">
        <v>6</v>
      </c>
      <c r="B4" t="s">
        <v>31</v>
      </c>
      <c r="C4" t="s">
        <v>32</v>
      </c>
      <c r="D4">
        <v>35</v>
      </c>
      <c r="E4">
        <v>86</v>
      </c>
      <c r="F4">
        <v>64</v>
      </c>
      <c r="G4">
        <v>84</v>
      </c>
      <c r="H4">
        <f>SUM(D4:G4)</f>
        <v>269</v>
      </c>
      <c r="I4" s="2">
        <f>AVERAGE(H4/4)/100</f>
        <v>0.67249999999999999</v>
      </c>
      <c r="J4" t="str">
        <f>IF(I4&gt;90%,"A+",IF(I4&gt;80%,"A",IF(I4&gt;70%,"B+",IF(I4&gt;60%,"B",IF(I4&gt;50%,"c+",IF(I4&gt;40%,"c"))))))</f>
        <v>B</v>
      </c>
      <c r="K4">
        <v>8</v>
      </c>
      <c r="L4" t="s">
        <v>24</v>
      </c>
    </row>
    <row r="5" spans="1:12" x14ac:dyDescent="0.25">
      <c r="A5" t="s">
        <v>7</v>
      </c>
      <c r="B5" t="s">
        <v>33</v>
      </c>
      <c r="C5" t="s">
        <v>34</v>
      </c>
      <c r="D5">
        <v>55</v>
      </c>
      <c r="E5">
        <v>91</v>
      </c>
      <c r="F5">
        <v>73</v>
      </c>
      <c r="G5">
        <v>49</v>
      </c>
      <c r="H5">
        <f>SUM(D5:G5)</f>
        <v>268</v>
      </c>
      <c r="I5" s="2">
        <f>AVERAGE(H5/4)/100</f>
        <v>0.67</v>
      </c>
      <c r="J5" t="str">
        <f>IF(I5&gt;90%,"A+",IF(I5&gt;80%,"A",IF(I5&gt;70%,"B+",IF(I5&gt;60%,"B",IF(I5&gt;50%,"c+",IF(I5&gt;40%,"c"))))))</f>
        <v>B</v>
      </c>
      <c r="K5">
        <v>9</v>
      </c>
      <c r="L5" t="s">
        <v>26</v>
      </c>
    </row>
    <row r="6" spans="1:12" x14ac:dyDescent="0.25">
      <c r="A6" t="s">
        <v>15</v>
      </c>
      <c r="B6" t="s">
        <v>35</v>
      </c>
      <c r="C6" t="s">
        <v>36</v>
      </c>
      <c r="D6">
        <v>74</v>
      </c>
      <c r="E6">
        <v>37</v>
      </c>
      <c r="F6">
        <v>94</v>
      </c>
      <c r="G6">
        <v>63</v>
      </c>
      <c r="H6">
        <f>SUM(D6:G6)</f>
        <v>268</v>
      </c>
      <c r="I6" s="2">
        <f>AVERAGE(H6/4)/100</f>
        <v>0.67</v>
      </c>
      <c r="J6" t="str">
        <f>IF(I6&gt;90%,"A+",IF(I6&gt;80%,"A",IF(I6&gt;70%,"B+",IF(I6&gt;60%,"B",IF(I6&gt;50%,"c+",IF(I6&gt;40%,"c"))))))</f>
        <v>B</v>
      </c>
      <c r="K6">
        <v>8</v>
      </c>
      <c r="L6" t="s">
        <v>24</v>
      </c>
    </row>
    <row r="7" spans="1:12" x14ac:dyDescent="0.25">
      <c r="A7" t="s">
        <v>8</v>
      </c>
      <c r="B7" t="s">
        <v>37</v>
      </c>
      <c r="C7" t="s">
        <v>38</v>
      </c>
      <c r="D7">
        <v>90</v>
      </c>
      <c r="E7">
        <v>71</v>
      </c>
      <c r="F7">
        <v>34</v>
      </c>
      <c r="G7">
        <v>70</v>
      </c>
      <c r="H7">
        <f>SUM(D7:G7)</f>
        <v>265</v>
      </c>
      <c r="I7" s="2">
        <f>AVERAGE(H7/4)/100</f>
        <v>0.66249999999999998</v>
      </c>
      <c r="J7" t="str">
        <f>IF(I7&gt;90%,"A+",IF(I7&gt;80%,"A",IF(I7&gt;70%,"B+",IF(I7&gt;60%,"B",IF(I7&gt;50%,"c+",IF(I7&gt;40%,"c"))))))</f>
        <v>B</v>
      </c>
      <c r="K7">
        <v>7</v>
      </c>
      <c r="L7" t="s">
        <v>25</v>
      </c>
    </row>
    <row r="8" spans="1:12" x14ac:dyDescent="0.25">
      <c r="A8" t="s">
        <v>11</v>
      </c>
      <c r="B8" t="s">
        <v>39</v>
      </c>
      <c r="C8" t="s">
        <v>40</v>
      </c>
      <c r="D8">
        <v>70</v>
      </c>
      <c r="E8">
        <v>64</v>
      </c>
      <c r="F8">
        <v>39</v>
      </c>
      <c r="G8">
        <v>65</v>
      </c>
      <c r="H8">
        <f>SUM(D8:G8)</f>
        <v>238</v>
      </c>
      <c r="I8" s="2">
        <f>AVERAGE(H8/4)/100</f>
        <v>0.59499999999999997</v>
      </c>
      <c r="J8" t="str">
        <f>IF(I8&gt;90%,"A+",IF(I8&gt;80%,"A",IF(I8&gt;70%,"B+",IF(I8&gt;60%,"B",IF(I8&gt;50%,"c+",IF(I8&gt;40%,"c"))))))</f>
        <v>c+</v>
      </c>
      <c r="K8">
        <v>4</v>
      </c>
      <c r="L8" t="s">
        <v>24</v>
      </c>
    </row>
    <row r="9" spans="1:12" x14ac:dyDescent="0.25">
      <c r="A9" t="s">
        <v>13</v>
      </c>
      <c r="B9" t="s">
        <v>41</v>
      </c>
      <c r="C9" t="s">
        <v>42</v>
      </c>
      <c r="D9">
        <v>68</v>
      </c>
      <c r="E9">
        <v>56</v>
      </c>
      <c r="F9">
        <v>45</v>
      </c>
      <c r="G9">
        <v>65</v>
      </c>
      <c r="H9">
        <f>SUM(D9:G9)</f>
        <v>234</v>
      </c>
      <c r="I9" s="2">
        <f>AVERAGE(H9/4)/100</f>
        <v>0.58499999999999996</v>
      </c>
      <c r="J9" t="str">
        <f>IF(I9&gt;90%,"A+",IF(I9&gt;80%,"A",IF(I9&gt;70%,"B+",IF(I9&gt;60%,"B",IF(I9&gt;50%,"c+",IF(I9&gt;40%,"c"))))))</f>
        <v>c+</v>
      </c>
      <c r="K9">
        <v>9</v>
      </c>
      <c r="L9" t="s">
        <v>26</v>
      </c>
    </row>
    <row r="10" spans="1:12" x14ac:dyDescent="0.25">
      <c r="A10" t="s">
        <v>12</v>
      </c>
      <c r="B10" t="s">
        <v>43</v>
      </c>
      <c r="C10" t="s">
        <v>44</v>
      </c>
      <c r="D10">
        <v>89</v>
      </c>
      <c r="E10">
        <v>32</v>
      </c>
      <c r="F10">
        <v>68</v>
      </c>
      <c r="G10">
        <v>35</v>
      </c>
      <c r="H10">
        <f>SUM(D10:G10)</f>
        <v>224</v>
      </c>
      <c r="I10" s="2">
        <f>AVERAGE(H10/4)/100</f>
        <v>0.56000000000000005</v>
      </c>
      <c r="J10" t="str">
        <f>IF(I10&gt;90%,"A+",IF(I10&gt;80%,"A",IF(I10&gt;70%,"B+",IF(I10&gt;60%,"B",IF(I10&gt;50%,"c+",IF(I10&gt;40%,"c"))))))</f>
        <v>c+</v>
      </c>
      <c r="K10">
        <v>7</v>
      </c>
      <c r="L10" t="s">
        <v>26</v>
      </c>
    </row>
    <row r="11" spans="1:12" x14ac:dyDescent="0.25">
      <c r="A11" t="s">
        <v>17</v>
      </c>
      <c r="B11" t="s">
        <v>45</v>
      </c>
      <c r="C11" t="s">
        <v>46</v>
      </c>
      <c r="D11">
        <v>68</v>
      </c>
      <c r="E11">
        <v>61</v>
      </c>
      <c r="F11">
        <v>45</v>
      </c>
      <c r="G11">
        <v>45</v>
      </c>
      <c r="H11">
        <f>SUM(D11:G11)</f>
        <v>219</v>
      </c>
      <c r="I11" s="2">
        <f>AVERAGE(H11/4)/100</f>
        <v>0.54749999999999999</v>
      </c>
      <c r="J11" t="str">
        <f>IF(I11&gt;90%,"A+",IF(I11&gt;80%,"A",IF(I11&gt;70%,"B+",IF(I11&gt;60%,"B",IF(I11&gt;50%,"c+",IF(I11&gt;40%,"c"))))))</f>
        <v>c+</v>
      </c>
      <c r="K11">
        <v>3</v>
      </c>
      <c r="L11" t="s">
        <v>24</v>
      </c>
    </row>
    <row r="12" spans="1:12" x14ac:dyDescent="0.25">
      <c r="A12" t="s">
        <v>19</v>
      </c>
      <c r="B12" t="s">
        <v>47</v>
      </c>
      <c r="C12" t="s">
        <v>48</v>
      </c>
      <c r="D12">
        <v>52</v>
      </c>
      <c r="E12">
        <v>70</v>
      </c>
      <c r="F12">
        <v>41</v>
      </c>
      <c r="G12">
        <v>45</v>
      </c>
      <c r="H12">
        <f>SUM(D12:G12)</f>
        <v>208</v>
      </c>
      <c r="I12" s="2">
        <f>AVERAGE(H12/4)/100</f>
        <v>0.52</v>
      </c>
      <c r="J12" t="str">
        <f>IF(I12&gt;90%,"A+",IF(I12&gt;80%,"A",IF(I12&gt;70%,"B+",IF(I12&gt;60%,"B",IF(I12&gt;50%,"c+",IF(I12&gt;40%,"c"))))))</f>
        <v>c+</v>
      </c>
      <c r="K12">
        <v>0</v>
      </c>
      <c r="L12" t="s">
        <v>26</v>
      </c>
    </row>
    <row r="13" spans="1:12" x14ac:dyDescent="0.25">
      <c r="A13" t="s">
        <v>9</v>
      </c>
      <c r="B13" t="s">
        <v>49</v>
      </c>
      <c r="C13" t="s">
        <v>50</v>
      </c>
      <c r="D13">
        <v>62</v>
      </c>
      <c r="E13">
        <v>43</v>
      </c>
      <c r="F13">
        <v>36</v>
      </c>
      <c r="G13">
        <v>67</v>
      </c>
      <c r="H13">
        <f>SUM(D13:G13)</f>
        <v>208</v>
      </c>
      <c r="I13" s="2">
        <f>AVERAGE(H13/4)/100</f>
        <v>0.52</v>
      </c>
      <c r="J13" t="str">
        <f>IF(I13&gt;90%,"A+",IF(I13&gt;80%,"A",IF(I13&gt;70%,"B+",IF(I13&gt;60%,"B",IF(I13&gt;50%,"c+",IF(I13&gt;40%,"c"))))))</f>
        <v>c+</v>
      </c>
      <c r="K13">
        <v>6</v>
      </c>
      <c r="L13" t="s">
        <v>25</v>
      </c>
    </row>
    <row r="14" spans="1:12" x14ac:dyDescent="0.25">
      <c r="A14" t="s">
        <v>16</v>
      </c>
      <c r="B14" t="s">
        <v>51</v>
      </c>
      <c r="C14" t="s">
        <v>52</v>
      </c>
      <c r="D14">
        <v>31</v>
      </c>
      <c r="E14">
        <v>69</v>
      </c>
      <c r="F14">
        <v>60</v>
      </c>
      <c r="G14">
        <v>41</v>
      </c>
      <c r="H14">
        <f>SUM(D14:G14)</f>
        <v>201</v>
      </c>
      <c r="I14" s="2">
        <f>AVERAGE(H14/4)/100</f>
        <v>0.50249999999999995</v>
      </c>
      <c r="J14" t="str">
        <f>IF(I14&gt;90%,"A+",IF(I14&gt;80%,"A",IF(I14&gt;70%,"B+",IF(I14&gt;60%,"B",IF(I14&gt;50%,"c+",IF(I14&gt;40%,"c"))))))</f>
        <v>c+</v>
      </c>
      <c r="K14">
        <v>6</v>
      </c>
      <c r="L14" t="s">
        <v>24</v>
      </c>
    </row>
    <row r="15" spans="1:12" x14ac:dyDescent="0.25">
      <c r="A15" t="s">
        <v>18</v>
      </c>
      <c r="B15" t="s">
        <v>53</v>
      </c>
      <c r="C15" t="s">
        <v>54</v>
      </c>
      <c r="D15">
        <v>54</v>
      </c>
      <c r="E15">
        <v>54</v>
      </c>
      <c r="F15">
        <v>31</v>
      </c>
      <c r="G15">
        <v>56</v>
      </c>
      <c r="H15">
        <f>SUM(D15:G15)</f>
        <v>195</v>
      </c>
      <c r="I15" s="2">
        <f>AVERAGE(H15/4)/100</f>
        <v>0.48749999999999999</v>
      </c>
      <c r="J15" t="str">
        <f>IF(I15&gt;90%,"A+",IF(I15&gt;80%,"A",IF(I15&gt;70%,"B+",IF(I15&gt;60%,"B",IF(I15&gt;50%,"c+",IF(I15&gt;40%,"c"))))))</f>
        <v>c</v>
      </c>
      <c r="K15">
        <v>1</v>
      </c>
      <c r="L15" t="s">
        <v>25</v>
      </c>
    </row>
  </sheetData>
  <sortState xmlns:xlrd2="http://schemas.microsoft.com/office/spreadsheetml/2017/richdata2" ref="A2:L15">
    <sortCondition descending="1" ref="I2:I15"/>
    <sortCondition ref="D2:D15"/>
    <sortCondition ref="A2:A15"/>
  </sortState>
  <conditionalFormatting sqref="D2:G15">
    <cfRule type="cellIs" dxfId="2" priority="1" operator="lessThan">
      <formula>50</formula>
    </cfRule>
    <cfRule type="cellIs" dxfId="1" priority="2" operator="between">
      <formula>50</formula>
      <formula>75</formula>
    </cfRule>
    <cfRule type="cellIs" dxfId="0" priority="3" operator="greaterThan">
      <formula>75</formula>
    </cfRule>
  </conditionalFormatting>
  <dataValidations count="2">
    <dataValidation type="whole" allowBlank="1" showInputMessage="1" showErrorMessage="1" errorTitle="Cgpa wrong" error="Pls correct cgpa" sqref="K2:K14 K15" xr:uid="{23EB8BD4-6264-4CE0-863A-309FB76ECE66}">
      <formula1>0</formula1>
      <formula2>10</formula2>
    </dataValidation>
    <dataValidation type="list" allowBlank="1" showInputMessage="1" showErrorMessage="1" errorTitle="INVALID" error="Pls correct dpet enter" sqref="L2:L14 L15" xr:uid="{3BB7F979-5B02-4C94-9FB3-C7A1908128E1}">
      <formula1>" CE,IT,ICT"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patel</dc:creator>
  <cp:lastModifiedBy>Prince Kardani</cp:lastModifiedBy>
  <dcterms:created xsi:type="dcterms:W3CDTF">2025-08-29T06:49:32Z</dcterms:created>
  <dcterms:modified xsi:type="dcterms:W3CDTF">2025-08-29T08:05:09Z</dcterms:modified>
</cp:coreProperties>
</file>